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dels" sheetId="2" state="visible" r:id="rId4"/>
    <sheet name="Tasks" sheetId="3" state="visible" r:id="rId5"/>
    <sheet name="Assumptions" sheetId="4" state="visible" r:id="rId6"/>
    <sheet name="Calculator" sheetId="5" state="visible" r:id="rId7"/>
    <sheet name="Scenarios" sheetId="6" state="visible" r:id="rId8"/>
    <sheet name="Impact" sheetId="7" state="visible" r:id="rId9"/>
  </sheets>
  <definedNames>
    <definedName function="false" hidden="false" name="GridList" vbProcedure="false">Assumptions!$A$5:$A$10</definedName>
    <definedName function="false" hidden="false" name="ModelList" vbProcedure="false">Models!$B$2:$B$9</definedName>
    <definedName function="false" hidden="false" name="TaskList" vbProcedure="false">Tasks!$A$2:$A$5</definedName>
    <definedName function="false" hidden="false" name="YesNo" vbProcedure="false">Calculator!$E$5:$E$6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<sst xmlns="http://schemas.openxmlformats.org/spreadsheetml/2006/main" count="276" uniqueCount="203">
  <si>
    <t xml:space="preserve">AI model energy calculator: MVP, task-first</t>
  </si>
  <si>
    <t xml:space="preserve">Purpose</t>
  </si>
  <si>
    <t xml:space="preserve">Estimates the marginal energy impact of right-sizing AI model choice. Task-first logic: a task determines which models are capable of it and how many tokens each model actually burns on it. MVP scope: eight models across OpenAI, Anthropic, and Google (the source has no small Google model). Energy first; carbon factors are built in.</t>
  </si>
  <si>
    <t xml:space="preserve">Structure</t>
  </si>
  <si>
    <t xml:space="preserve">Models: 20 curated models with energy per query, capability data, and effort class. Tasks: four archetypes with capability floors and effort-dependent token counts. Calculator: A vs B on a chosen task, with capability warnings and an optional success adjustment. Scenarios: routing (headline), single-model shift, and grid comparison.</t>
  </si>
  <si>
    <t xml:space="preserve">Key logic</t>
  </si>
  <si>
    <t xml:space="preserve">Thinking models emit reasoning tokens on every task, so using a high-effort model for a simple task costs more both per token and in tokens. Models below a task's capability floor get a warning: the comparison is shown but flagged as not meaningful. The optional quality view divides energy by a success proxy (confidence C) to price in failed attempts.</t>
  </si>
  <si>
    <t xml:space="preserve">Confidence grades</t>
  </si>
  <si>
    <t xml:space="preserve">A = vendor-disclosed. B = estimated from API telemetry (all energy rows). C = editorial working assumption (task token counts, traffic mix, calls per agentic task, success proxy, two estimated intelligence indexes).</t>
  </si>
  <si>
    <t xml:space="preserve">Two caveats that matter</t>
  </si>
  <si>
    <t xml:space="preserve">1. Vendor disclosures sit roughly 10x below these estimates (Google: 0.24 Wh per median Gemini prompt; OpenAI: 0.34 Wh per average ChatGPT query) because they cover shorter prompts and assume high batching. Treat levels as indicative and comparisons as the signal.</t>
  </si>
  <si>
    <t xml:space="preserve">2. Telemetry conflates model size with serving speed: a slowly served small model can score worse than a fast large one (Claude 4.5 Haiku vs Sonnet). The cross-tier pattern is robust; single readings are not.</t>
  </si>
  <si>
    <t xml:space="preserve">Data</t>
  </si>
  <si>
    <t xml:space="preserve">Snapshot 2026-08-12 from github.com/Nidhal-Jegham/HowHungryisAIDashboard (Artificial Analysis telemetry). Curated and raw CSVs in /data. Key sources: arxiv.org/abs/2505.09598 - cell.com/joule/fulltext/S2542-4351(26)00114-5 - theclimatebrink.com/p/the-real-energy-use-of-agentic-ai</t>
  </si>
  <si>
    <t xml:space="preserve">Vendor</t>
  </si>
  <si>
    <t xml:space="preserve">Model</t>
  </si>
  <si>
    <t xml:space="preserve">Size</t>
  </si>
  <si>
    <t xml:space="preserve">Intelligence index (AA)</t>
  </si>
  <si>
    <t xml:space="preserve">Index basis</t>
  </si>
  <si>
    <t xml:space="preserve">Effort class</t>
  </si>
  <si>
    <t xml:space="preserve">Supports reasoning</t>
  </si>
  <si>
    <t xml:space="preserve">Agent-capable</t>
  </si>
  <si>
    <t xml:space="preserve">Terminal-Bench Hard (%)</t>
  </si>
  <si>
    <t xml:space="preserve">Tau2-Bench Telecom (%)</t>
  </si>
  <si>
    <t xml:space="preserve">Wh per query, low</t>
  </si>
  <si>
    <t xml:space="preserve">Wh per query, central</t>
  </si>
  <si>
    <t xml:space="preserve">Wh per query, high</t>
  </si>
  <si>
    <t xml:space="preserve">Wh per 1K output tokens</t>
  </si>
  <si>
    <t xml:space="preserve">CIF (kgCO2e/kWh)</t>
  </si>
  <si>
    <t xml:space="preserve">Confidence</t>
  </si>
  <si>
    <t xml:space="preserve">OpenAI</t>
  </si>
  <si>
    <t xml:space="preserve">GPT-5 (high)</t>
  </si>
  <si>
    <t xml:space="preserve">Large</t>
  </si>
  <si>
    <t xml:space="preserve">measured</t>
  </si>
  <si>
    <t xml:space="preserve">high</t>
  </si>
  <si>
    <t xml:space="preserve">yes</t>
  </si>
  <si>
    <t xml:space="preserve">B</t>
  </si>
  <si>
    <t xml:space="preserve">GPT-5 mini (medium)</t>
  </si>
  <si>
    <t xml:space="preserve">Medium</t>
  </si>
  <si>
    <t xml:space="preserve">medium</t>
  </si>
  <si>
    <t xml:space="preserve">GPT-5 nano (minimal)</t>
  </si>
  <si>
    <t xml:space="preserve">Small</t>
  </si>
  <si>
    <t xml:space="preserve">none</t>
  </si>
  <si>
    <t xml:space="preserve">no</t>
  </si>
  <si>
    <t xml:space="preserve">Anthropic</t>
  </si>
  <si>
    <t xml:space="preserve">Claude Opus 5</t>
  </si>
  <si>
    <t xml:space="preserve">C</t>
  </si>
  <si>
    <t xml:space="preserve">Claude 4.5 Sonnet</t>
  </si>
  <si>
    <t xml:space="preserve">Claude 4.5 Haiku</t>
  </si>
  <si>
    <t xml:space="preserve">Google</t>
  </si>
  <si>
    <t xml:space="preserve">Gemini 2.5 Pro</t>
  </si>
  <si>
    <t xml:space="preserve">Gemini 2.5 Flash</t>
  </si>
  <si>
    <t xml:space="preserve">Effort class reflects how the model was benchmarked: high and medium emit reasoning tokens on every task; none answers directly. Agent-capable = Tau2-Bench &gt;= 60% or Terminal-Bench Hard &gt;= 25%. Central energy = mean at 1,500 output tokens; low/high = +/- 1 std.</t>
  </si>
  <si>
    <t xml:space="preserve">Source: Jegham et al. pipeline over Artificial Analysis telemetry, snapshot 2026-08-12. Confidence B: estimated from API telemetry. Claude Opus 5 (confidence C): computed with the same formula from Artificial Analysis speed and latency (54.8 tokens/s, ~40 s first token), calibrated on Claude 4.5 Sonnet; no telemetry row exists yet.</t>
  </si>
  <si>
    <t xml:space="preserve">Task</t>
  </si>
  <si>
    <t xml:space="preserve">Capability floor (intelligence index)</t>
  </si>
  <si>
    <t xml:space="preserve">Reasoning required</t>
  </si>
  <si>
    <t xml:space="preserve">Agent capability required</t>
  </si>
  <si>
    <t xml:space="preserve">Tokens per call, effort none</t>
  </si>
  <si>
    <t xml:space="preserve">Tokens per call, effort medium</t>
  </si>
  <si>
    <t xml:space="preserve">Tokens per call, effort high</t>
  </si>
  <si>
    <t xml:space="preserve">Model calls per task</t>
  </si>
  <si>
    <t xml:space="preserve">Basis</t>
  </si>
  <si>
    <t xml:space="preserve">Classify or extract</t>
  </si>
  <si>
    <t xml:space="preserve">Short structured output; thinking models burn extra reasoning tokens even here</t>
  </si>
  <si>
    <t xml:space="preserve">Draft an email or summary</t>
  </si>
  <si>
    <t xml:space="preserve">Standard generation; matches the 1,500-token benchmark order of magnitude</t>
  </si>
  <si>
    <t xml:space="preserve">Complex analysis</t>
  </si>
  <si>
    <t xml:space="preserve">Reasoning chains; Joule (2026) finds test-time scaling raises energy up to ~13x</t>
  </si>
  <si>
    <t xml:space="preserve">Agentic multi-step job</t>
  </si>
  <si>
    <t xml:space="preserve">~13 model calls per human input (Climate Brink Claude Code logs); confidence C</t>
  </si>
  <si>
    <t xml:space="preserve">Token counts are editorial working assumptions (confidence C): the same task costs more tokens on a thinking model. Floors gate eligibility; models below the floor get a warning in the calculator.</t>
  </si>
  <si>
    <t xml:space="preserve">Success proxy used by the optional quality adjustment: success = MAX(0.35, MIN(0.97, 0.6 + 0.02 x (intelligence index - floor))). Confidence C.</t>
  </si>
  <si>
    <t xml:space="preserve">Assumptions</t>
  </si>
  <si>
    <t xml:space="preserve">Grid emission factors</t>
  </si>
  <si>
    <t xml:space="preserve">Option</t>
  </si>
  <si>
    <t xml:space="preserve">kgCO2e per kWh</t>
  </si>
  <si>
    <t xml:space="preserve">Source (indicative; verify before external use)</t>
  </si>
  <si>
    <t xml:space="preserve">Host default</t>
  </si>
  <si>
    <t xml:space="preserve">Uses each model's CIF from the Models sheet</t>
  </si>
  <si>
    <t xml:space="preserve">US average</t>
  </si>
  <si>
    <t xml:space="preserve">EPA eGRID, latest national output rate</t>
  </si>
  <si>
    <t xml:space="preserve">EU average</t>
  </si>
  <si>
    <t xml:space="preserve">EEA, generation intensity</t>
  </si>
  <si>
    <t xml:space="preserve">Norway</t>
  </si>
  <si>
    <t xml:space="preserve">Near-total hydro; Ember</t>
  </si>
  <si>
    <t xml:space="preserve">India</t>
  </si>
  <si>
    <t xml:space="preserve">Coal-heavy grid; Ember</t>
  </si>
  <si>
    <t xml:space="preserve">World average</t>
  </si>
  <si>
    <t xml:space="preserve">Ember Global Electricity Review</t>
  </si>
  <si>
    <t xml:space="preserve">Equivalents</t>
  </si>
  <si>
    <t xml:space="preserve">Quantity</t>
  </si>
  <si>
    <t xml:space="preserve">Value</t>
  </si>
  <si>
    <t xml:space="preserve">Unit</t>
  </si>
  <si>
    <t xml:space="preserve">Source</t>
  </si>
  <si>
    <t xml:space="preserve">US household electricity use</t>
  </si>
  <si>
    <t xml:space="preserve">kWh per day</t>
  </si>
  <si>
    <t xml:space="preserve">EIA 2023: 10,791 kWh per year</t>
  </si>
  <si>
    <t xml:space="preserve">Electric vehicle consumption</t>
  </si>
  <si>
    <t xml:space="preserve">kWh per km</t>
  </si>
  <si>
    <t xml:space="preserve">Typical mid-size EV</t>
  </si>
  <si>
    <t xml:space="preserve">Smartphone full charge</t>
  </si>
  <si>
    <t xml:space="preserve">kWh</t>
  </si>
  <si>
    <t xml:space="preserve">DOE estimate</t>
  </si>
  <si>
    <t xml:space="preserve">US household electricity use, annual</t>
  </si>
  <si>
    <t xml:space="preserve">kWh per year</t>
  </si>
  <si>
    <t xml:space="preserve">EIA 2023</t>
  </si>
  <si>
    <t xml:space="preserve">Scale constants</t>
  </si>
  <si>
    <t xml:space="preserve">Global AI prompts per day (ChatGPT alone)</t>
  </si>
  <si>
    <t xml:space="preserve">prompts per day</t>
  </si>
  <si>
    <t xml:space="preserve">OpenAI disclosure, mid-2025; total market is larger</t>
  </si>
  <si>
    <t xml:space="preserve">Yellow cells are editable inputs. Everything else recalculates.</t>
  </si>
  <si>
    <t xml:space="preserve">Marginal impact calculator</t>
  </si>
  <si>
    <t xml:space="preserve">Pick a task, then two models. Tokens per task depend on each model's effort class; models below the task's capability floor get a warning.</t>
  </si>
  <si>
    <t xml:space="preserve">Inputs</t>
  </si>
  <si>
    <t xml:space="preserve">Yes</t>
  </si>
  <si>
    <t xml:space="preserve">Model A (current choice)</t>
  </si>
  <si>
    <t xml:space="preserve">No</t>
  </si>
  <si>
    <t xml:space="preserve">Model B (alternative)</t>
  </si>
  <si>
    <t xml:space="preserve">Tasks per month</t>
  </si>
  <si>
    <t xml:space="preserve">Grid emission factor</t>
  </si>
  <si>
    <t xml:space="preserve">Adjust for task success (quality view)</t>
  </si>
  <si>
    <t xml:space="preserve">Model A</t>
  </si>
  <si>
    <t xml:space="preserve">Model B</t>
  </si>
  <si>
    <t xml:space="preserve">Intelligence index</t>
  </si>
  <si>
    <t xml:space="preserve">Tokens per call</t>
  </si>
  <si>
    <t xml:space="preserve">Total output tokens per task</t>
  </si>
  <si>
    <t xml:space="preserve">Wh per task attempt (central)</t>
  </si>
  <si>
    <t xml:space="preserve">Wh per task attempt (low)</t>
  </si>
  <si>
    <t xml:space="preserve">Wh per task attempt (high)</t>
  </si>
  <si>
    <t xml:space="preserve">Capability check</t>
  </si>
  <si>
    <t xml:space="preserve">Success proxy (confidence C)</t>
  </si>
  <si>
    <t xml:space="preserve">Wh per task, as displayed</t>
  </si>
  <si>
    <t xml:space="preserve">kWh per month</t>
  </si>
  <si>
    <t xml:space="preserve">Impact of switching A to B (positive = switching saves)</t>
  </si>
  <si>
    <t xml:space="preserve">Wh difference per task</t>
  </si>
  <si>
    <t xml:space="preserve">Share of A's energy avoided</t>
  </si>
  <si>
    <t xml:space="preserve">kWh difference per year (central)</t>
  </si>
  <si>
    <t xml:space="preserve">kWh difference per year (low, unadjusted)</t>
  </si>
  <si>
    <t xml:space="preserve">kWh difference per year (high, unadjusted)</t>
  </si>
  <si>
    <t xml:space="preserve">Annual difference in everyday terms (absolute value)</t>
  </si>
  <si>
    <t xml:space="preserve">Days of a US household's electricity</t>
  </si>
  <si>
    <t xml:space="preserve">Kilometers of EV driving</t>
  </si>
  <si>
    <t xml:space="preserve">Smartphone charges</t>
  </si>
  <si>
    <t xml:space="preserve">Carbon (uses grid factor input; positive = avoided by switching)</t>
  </si>
  <si>
    <t xml:space="preserve">kgCO2e difference per year</t>
  </si>
  <si>
    <t xml:space="preserve">If either model shows a capability warning, the energy comparison is not meaningful for this task: the cheaper model may simply fail at it. The success adjustment (row 22) is one way to price that in.</t>
  </si>
  <si>
    <t xml:space="preserve">Scenarios</t>
  </si>
  <si>
    <t xml:space="preserve">Headline: right-size by routing</t>
  </si>
  <si>
    <t xml:space="preserve">Policy A sends every task to one model. Policy B routes each task tier to the cheapest model that clears the tier's capability floor.</t>
  </si>
  <si>
    <t xml:space="preserve">Policy A model (everything)</t>
  </si>
  <si>
    <t xml:space="preserve">Task tier</t>
  </si>
  <si>
    <t xml:space="preserve">Share of traffic</t>
  </si>
  <si>
    <t xml:space="preserve">Policy B model</t>
  </si>
  <si>
    <t xml:space="preserve">Wh per task, policy A</t>
  </si>
  <si>
    <t xml:space="preserve">Wh per task, policy B</t>
  </si>
  <si>
    <t xml:space="preserve">Share check (should be 100%)</t>
  </si>
  <si>
    <t xml:space="preserve">Weighted Wh per average task, policy A</t>
  </si>
  <si>
    <t xml:space="preserve">Weighted Wh per average task, policy B</t>
  </si>
  <si>
    <t xml:space="preserve">Energy avoided by routing</t>
  </si>
  <si>
    <t xml:space="preserve">Share of global traffic actually migrated</t>
  </si>
  <si>
    <t xml:space="preserve">GWh saved per year at ChatGPT scale</t>
  </si>
  <si>
    <t xml:space="preserve">US households powered for a year</t>
  </si>
  <si>
    <t xml:space="preserve">tCO2e avoided per year (world average grid)</t>
  </si>
  <si>
    <t xml:space="preserve">Shift one model to another</t>
  </si>
  <si>
    <t xml:space="preserve">Simple version: a share of standard queries (1,500 output tokens) moves from one model to another. Positive results mean the shift saves; negative means it adds.</t>
  </si>
  <si>
    <t xml:space="preserve">Prompts per day</t>
  </si>
  <si>
    <t xml:space="preserve">Share shifted</t>
  </si>
  <si>
    <t xml:space="preserve">From model</t>
  </si>
  <si>
    <t xml:space="preserve">To model</t>
  </si>
  <si>
    <t xml:space="preserve">Wh per query, from / to</t>
  </si>
  <si>
    <t xml:space="preserve">GWh difference per year</t>
  </si>
  <si>
    <t xml:space="preserve">US households powered for a year (absolute)</t>
  </si>
  <si>
    <t xml:space="preserve">tCO2e difference per year (world average grid)</t>
  </si>
  <si>
    <t xml:space="preserve">Same model, different grid</t>
  </si>
  <si>
    <t xml:space="preserve">kWh per 1M standard queries</t>
  </si>
  <si>
    <t xml:space="preserve">tCO2e per 1M queries, Norway grid</t>
  </si>
  <si>
    <t xml:space="preserve">tCO2e per 1M queries, India grid</t>
  </si>
  <si>
    <t xml:space="preserve">Carbon multiple, India vs Norway</t>
  </si>
  <si>
    <t xml:space="preserve">Donor impact scenarios</t>
  </si>
  <si>
    <t xml:space="preserve">What a $1M eco-labeling project could plausibly influence. Impact scales with the share of global inference traffic that routing integrations, procurement standards, and disclosure pressure reach.</t>
  </si>
  <si>
    <t xml:space="preserve">Parameters</t>
  </si>
  <si>
    <t xml:space="preserve">Global AI inference electricity, 2026 (GWh)</t>
  </si>
  <si>
    <t xml:space="preserve">IEA: AI data centers ~155 TWh in 2025, +30%/yr, ~60% inference share. Confidence C.</t>
  </si>
  <si>
    <t xml:space="preserve">Wholesale electricity price ($/MWh)</t>
  </si>
  <si>
    <t xml:space="preserve">Indicative global blend</t>
  </si>
  <si>
    <t xml:space="preserve">Grid carbon intensity (kgCO2e/kWh)</t>
  </si>
  <si>
    <t xml:space="preserve">Ember world average</t>
  </si>
  <si>
    <t xml:space="preserve">Project cost ($)</t>
  </si>
  <si>
    <t xml:space="preserve">First-year grant</t>
  </si>
  <si>
    <t xml:space="preserve">Scenario</t>
  </si>
  <si>
    <t xml:space="preserve">Influenced share of inference</t>
  </si>
  <si>
    <t xml:space="preserve">Energy saved on influenced slice</t>
  </si>
  <si>
    <t xml:space="preserve">GWh saved per year</t>
  </si>
  <si>
    <t xml:space="preserve">$M saved per year</t>
  </si>
  <si>
    <t xml:space="preserve">ktCO2e avoided per year</t>
  </si>
  <si>
    <t xml:space="preserve">$ per tCO2e</t>
  </si>
  <si>
    <t xml:space="preserve">Annual leverage (savings / cost)</t>
  </si>
  <si>
    <t xml:space="preserve">Conservative</t>
  </si>
  <si>
    <t xml:space="preserve">Central</t>
  </si>
  <si>
    <t xml:space="preserve">Ambitious</t>
  </si>
  <si>
    <t xml:space="preserve">Reading the table: the Central case assumes integrations and standards reach 0.5% of global inference traffic and cut its energy in half, consistent with the per-task savings this workbook demonstrates. Even the Conservative case returns roughly 3x the grant annually; the abatement cost compares favorably with typical climate philanthropy at $10-100 per tCO2e.</t>
  </si>
  <si>
    <t xml:space="preserve">Why platform-layer leverage is plausible: OpenRouter routes 20T+ tokens weekly and its mix already shifted heavily toward cheap models on price alone; Google processed 3.2 quadrillion tokens in May 2026; ~97% of Anthropic API usage is automation-dominant. One routing integration moves more traffic than any number of individual user choices.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</si>
</sst>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"/>
    <numFmt numFmtId="167" formatCode="0.000"/>
    <numFmt numFmtId="168" formatCode="#,##0.0"/>
    <numFmt numFmtId="169" formatCode="#,##0.000"/>
    <numFmt numFmtId="170" formatCode="0"/>
    <numFmt numFmtId="171" formatCode="0%"/>
    <numFmt numFmtId="172" formatCode="0.0%"/>
    <numFmt numFmtId="173" formatCode="0.0"/>
    <numFmt numFmtId="174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334E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4A33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334E"/>
        <bgColor rgb="FF333399"/>
      </patternFill>
    </fill>
    <fill>
      <patternFill patternType="solid">
        <fgColor rgb="FFF0EFEE"/>
        <bgColor rgb="FFFFF6D6"/>
      </patternFill>
    </fill>
    <fill>
      <patternFill patternType="solid">
        <fgColor rgb="FFFFF6D6"/>
        <bgColor rgb="FFF0EF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D6"/>
      <rgbColor rgb="FFF0EF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33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42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42" hidden="false" customHeight="true" outlineLevel="0" collapsed="false">
      <c r="A7" s="3" t="s">
        <v>4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5</v>
      </c>
    </row>
    <row r="10" customFormat="false" ht="42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7</v>
      </c>
    </row>
    <row r="13" customFormat="false" ht="42" hidden="false" customHeight="true" outlineLevel="0" collapsed="false">
      <c r="A13" s="3" t="s">
        <v>8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9</v>
      </c>
    </row>
    <row r="16" customFormat="false" ht="42" hidden="false" customHeight="true" outlineLevel="0" collapsed="false">
      <c r="A16" s="3" t="s">
        <v>10</v>
      </c>
    </row>
    <row r="17" customFormat="false" ht="42" hidden="false" customHeight="true" outlineLevel="0" collapsed="false">
      <c r="A17" s="3" t="s">
        <v>11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12</v>
      </c>
    </row>
    <row r="20" customFormat="false" ht="42" hidden="false" customHeight="true" outlineLevel="0" collapsed="false">
      <c r="A20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10" min="9" style="1" width="13"/>
    <col collapsed="false" customWidth="true" hidden="false" outlineLevel="0" max="13" min="11" style="1" width="10"/>
    <col collapsed="false" customWidth="true" hidden="false" outlineLevel="0" max="15" min="14" style="1" width="12"/>
    <col collapsed="false" customWidth="true" hidden="false" outlineLevel="0" max="16" min="16" style="1" width="10"/>
  </cols>
  <sheetData>
    <row r="1" customFormat="false" ht="34.5" hidden="false" customHeight="tru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</row>
    <row r="2" customFormat="false" ht="15" hidden="false" customHeight="true" outlineLevel="0" collapsed="false">
      <c r="A2" s="6" t="s">
        <v>30</v>
      </c>
      <c r="B2" s="6" t="s">
        <v>31</v>
      </c>
      <c r="C2" s="6" t="s">
        <v>32</v>
      </c>
      <c r="D2" s="6" t="n">
        <v>45</v>
      </c>
      <c r="E2" s="6" t="s">
        <v>33</v>
      </c>
      <c r="F2" s="6" t="s">
        <v>34</v>
      </c>
      <c r="G2" s="6" t="s">
        <v>35</v>
      </c>
      <c r="H2" s="6" t="s">
        <v>35</v>
      </c>
      <c r="I2" s="6" t="n">
        <v>33</v>
      </c>
      <c r="J2" s="6" t="n">
        <v>85</v>
      </c>
      <c r="K2" s="7" t="n">
        <v>12.345</v>
      </c>
      <c r="L2" s="7" t="n">
        <v>21.311</v>
      </c>
      <c r="M2" s="7" t="n">
        <v>30.278</v>
      </c>
      <c r="N2" s="7" t="n">
        <f aca="false">L2/1.5</f>
        <v>14.2073333333333</v>
      </c>
      <c r="O2" s="6" t="n">
        <v>0.34</v>
      </c>
      <c r="P2" s="6" t="s">
        <v>36</v>
      </c>
    </row>
    <row r="3" customFormat="false" ht="15" hidden="false" customHeight="true" outlineLevel="0" collapsed="false">
      <c r="A3" s="8" t="s">
        <v>30</v>
      </c>
      <c r="B3" s="8" t="s">
        <v>37</v>
      </c>
      <c r="C3" s="8" t="s">
        <v>38</v>
      </c>
      <c r="D3" s="8" t="n">
        <v>39</v>
      </c>
      <c r="E3" s="8" t="s">
        <v>33</v>
      </c>
      <c r="F3" s="8" t="s">
        <v>39</v>
      </c>
      <c r="G3" s="8" t="s">
        <v>35</v>
      </c>
      <c r="H3" s="8" t="s">
        <v>35</v>
      </c>
      <c r="I3" s="8" t="n">
        <v>29</v>
      </c>
      <c r="J3" s="8" t="n">
        <v>71</v>
      </c>
      <c r="K3" s="9" t="n">
        <v>2.339</v>
      </c>
      <c r="L3" s="9" t="n">
        <v>3.65</v>
      </c>
      <c r="M3" s="9" t="n">
        <v>4.961</v>
      </c>
      <c r="N3" s="9" t="n">
        <f aca="false">L3/1.5</f>
        <v>2.43333333333333</v>
      </c>
      <c r="O3" s="8" t="n">
        <v>0.34</v>
      </c>
      <c r="P3" s="8" t="s">
        <v>36</v>
      </c>
    </row>
    <row r="4" customFormat="false" ht="15" hidden="false" customHeight="true" outlineLevel="0" collapsed="false">
      <c r="A4" s="6" t="s">
        <v>30</v>
      </c>
      <c r="B4" s="6" t="s">
        <v>40</v>
      </c>
      <c r="C4" s="6" t="s">
        <v>41</v>
      </c>
      <c r="D4" s="6" t="n">
        <v>14</v>
      </c>
      <c r="E4" s="6" t="s">
        <v>33</v>
      </c>
      <c r="F4" s="6" t="s">
        <v>42</v>
      </c>
      <c r="G4" s="6" t="s">
        <v>35</v>
      </c>
      <c r="H4" s="6" t="s">
        <v>43</v>
      </c>
      <c r="I4" s="6" t="n">
        <v>7</v>
      </c>
      <c r="J4" s="6" t="n">
        <v>26</v>
      </c>
      <c r="K4" s="7" t="n">
        <v>0.537</v>
      </c>
      <c r="L4" s="7" t="n">
        <v>0.634</v>
      </c>
      <c r="M4" s="7" t="n">
        <v>0.732</v>
      </c>
      <c r="N4" s="7" t="n">
        <f aca="false">L4/1.5</f>
        <v>0.422666666666667</v>
      </c>
      <c r="O4" s="6" t="n">
        <v>0.34</v>
      </c>
      <c r="P4" s="6" t="s">
        <v>36</v>
      </c>
    </row>
    <row r="5" customFormat="false" ht="15" hidden="false" customHeight="true" outlineLevel="0" collapsed="false">
      <c r="A5" s="8" t="s">
        <v>44</v>
      </c>
      <c r="B5" s="8" t="s">
        <v>45</v>
      </c>
      <c r="C5" s="8" t="s">
        <v>32</v>
      </c>
      <c r="D5" s="8" t="n">
        <v>61</v>
      </c>
      <c r="E5" s="8" t="s">
        <v>33</v>
      </c>
      <c r="F5" s="8" t="s">
        <v>34</v>
      </c>
      <c r="G5" s="8" t="s">
        <v>35</v>
      </c>
      <c r="H5" s="8" t="s">
        <v>35</v>
      </c>
      <c r="I5" s="8"/>
      <c r="J5" s="8"/>
      <c r="K5" s="9" t="n">
        <v>10.9</v>
      </c>
      <c r="L5" s="9" t="n">
        <v>14.46</v>
      </c>
      <c r="M5" s="9" t="n">
        <v>18.1</v>
      </c>
      <c r="N5" s="9" t="n">
        <f aca="false">L5/1.5</f>
        <v>9.64</v>
      </c>
      <c r="O5" s="8" t="n">
        <v>0.3</v>
      </c>
      <c r="P5" s="8" t="s">
        <v>46</v>
      </c>
    </row>
    <row r="6" customFormat="false" ht="15" hidden="false" customHeight="true" outlineLevel="0" collapsed="false">
      <c r="A6" s="6" t="s">
        <v>44</v>
      </c>
      <c r="B6" s="6" t="s">
        <v>47</v>
      </c>
      <c r="C6" s="6" t="s">
        <v>32</v>
      </c>
      <c r="D6" s="6" t="n">
        <v>43</v>
      </c>
      <c r="E6" s="6" t="s">
        <v>33</v>
      </c>
      <c r="F6" s="6" t="s">
        <v>39</v>
      </c>
      <c r="G6" s="6" t="s">
        <v>35</v>
      </c>
      <c r="H6" s="6" t="s">
        <v>35</v>
      </c>
      <c r="I6" s="6" t="n">
        <v>36</v>
      </c>
      <c r="J6" s="6" t="n">
        <v>78</v>
      </c>
      <c r="K6" s="7" t="n">
        <v>7.633</v>
      </c>
      <c r="L6" s="7" t="n">
        <v>9.79</v>
      </c>
      <c r="M6" s="7" t="n">
        <v>11.947</v>
      </c>
      <c r="N6" s="7" t="n">
        <f aca="false">L6/1.5</f>
        <v>6.52666666666667</v>
      </c>
      <c r="O6" s="6" t="n">
        <v>0.3</v>
      </c>
      <c r="P6" s="6" t="s">
        <v>36</v>
      </c>
    </row>
    <row r="7" customFormat="false" ht="15" hidden="false" customHeight="true" outlineLevel="0" collapsed="false">
      <c r="A7" s="8" t="s">
        <v>44</v>
      </c>
      <c r="B7" s="8" t="s">
        <v>48</v>
      </c>
      <c r="C7" s="8" t="s">
        <v>32</v>
      </c>
      <c r="D7" s="8" t="n">
        <v>37</v>
      </c>
      <c r="E7" s="8" t="s">
        <v>33</v>
      </c>
      <c r="F7" s="8" t="s">
        <v>39</v>
      </c>
      <c r="G7" s="8" t="s">
        <v>35</v>
      </c>
      <c r="H7" s="8" t="s">
        <v>35</v>
      </c>
      <c r="I7" s="8" t="n">
        <v>27</v>
      </c>
      <c r="J7" s="8" t="n">
        <v>55</v>
      </c>
      <c r="K7" s="9" t="n">
        <v>2.099</v>
      </c>
      <c r="L7" s="9" t="n">
        <v>11.199</v>
      </c>
      <c r="M7" s="9" t="n">
        <v>20.3</v>
      </c>
      <c r="N7" s="9" t="n">
        <f aca="false">L7/1.5</f>
        <v>7.466</v>
      </c>
      <c r="O7" s="8" t="n">
        <v>0.3</v>
      </c>
      <c r="P7" s="8" t="s">
        <v>36</v>
      </c>
    </row>
    <row r="8" customFormat="false" ht="15" hidden="false" customHeight="true" outlineLevel="0" collapsed="false">
      <c r="A8" s="6" t="s">
        <v>49</v>
      </c>
      <c r="B8" s="6" t="s">
        <v>50</v>
      </c>
      <c r="C8" s="6" t="s">
        <v>32</v>
      </c>
      <c r="D8" s="6" t="n">
        <v>35</v>
      </c>
      <c r="E8" s="6" t="s">
        <v>33</v>
      </c>
      <c r="F8" s="6" t="s">
        <v>39</v>
      </c>
      <c r="G8" s="6" t="s">
        <v>35</v>
      </c>
      <c r="H8" s="6" t="s">
        <v>35</v>
      </c>
      <c r="I8" s="6" t="n">
        <v>27</v>
      </c>
      <c r="J8" s="6" t="n">
        <v>54</v>
      </c>
      <c r="K8" s="7" t="n">
        <v>2.25</v>
      </c>
      <c r="L8" s="7" t="n">
        <v>3.155</v>
      </c>
      <c r="M8" s="7" t="n">
        <v>4.06</v>
      </c>
      <c r="N8" s="7" t="n">
        <f aca="false">L8/1.5</f>
        <v>2.10333333333333</v>
      </c>
      <c r="O8" s="6" t="n">
        <v>0.231</v>
      </c>
      <c r="P8" s="6" t="s">
        <v>36</v>
      </c>
    </row>
    <row r="9" customFormat="false" ht="15" hidden="false" customHeight="true" outlineLevel="0" collapsed="false">
      <c r="A9" s="8" t="s">
        <v>49</v>
      </c>
      <c r="B9" s="8" t="s">
        <v>51</v>
      </c>
      <c r="C9" s="8" t="s">
        <v>32</v>
      </c>
      <c r="D9" s="8" t="n">
        <v>27</v>
      </c>
      <c r="E9" s="8" t="s">
        <v>33</v>
      </c>
      <c r="F9" s="8" t="s">
        <v>42</v>
      </c>
      <c r="G9" s="8" t="s">
        <v>35</v>
      </c>
      <c r="H9" s="8" t="s">
        <v>43</v>
      </c>
      <c r="I9" s="8" t="n">
        <v>14</v>
      </c>
      <c r="J9" s="8" t="n">
        <v>32</v>
      </c>
      <c r="K9" s="9" t="n">
        <v>1.135</v>
      </c>
      <c r="L9" s="9" t="n">
        <v>2.314</v>
      </c>
      <c r="M9" s="9" t="n">
        <v>3.494</v>
      </c>
      <c r="N9" s="9" t="n">
        <f aca="false">L9/1.5</f>
        <v>1.54266666666667</v>
      </c>
      <c r="O9" s="8" t="n">
        <v>0.231</v>
      </c>
      <c r="P9" s="8" t="s">
        <v>36</v>
      </c>
    </row>
    <row r="11" customFormat="false" ht="27.75" hidden="false" customHeight="true" outlineLevel="0" collapsed="false">
      <c r="A11" s="10" t="s">
        <v>52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customFormat="false" ht="21.75" hidden="false" customHeight="true" outlineLevel="0" collapsed="false">
      <c r="A12" s="10" t="s">
        <v>53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</sheetData>
  <mergeCells count="2">
    <mergeCell ref="A11:L11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7" min="4" style="1" width="13"/>
    <col collapsed="false" customWidth="true" hidden="false" outlineLevel="0" max="8" min="8" style="1" width="10"/>
    <col collapsed="false" customWidth="true" hidden="false" outlineLevel="0" max="9" min="9" style="1" width="72"/>
  </cols>
  <sheetData>
    <row r="1" customFormat="false" ht="34.5" hidden="false" customHeight="true" outlineLevel="0" collapsed="false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</row>
    <row r="2" customFormat="false" ht="15" hidden="false" customHeight="true" outlineLevel="0" collapsed="false">
      <c r="A2" s="8" t="s">
        <v>63</v>
      </c>
      <c r="B2" s="11" t="n">
        <v>10</v>
      </c>
      <c r="C2" s="8" t="s">
        <v>43</v>
      </c>
      <c r="D2" s="8" t="s">
        <v>43</v>
      </c>
      <c r="E2" s="11" t="n">
        <v>150</v>
      </c>
      <c r="F2" s="11" t="n">
        <v>700</v>
      </c>
      <c r="G2" s="11" t="n">
        <v>1500</v>
      </c>
      <c r="H2" s="11" t="n">
        <v>1</v>
      </c>
      <c r="I2" s="8" t="s">
        <v>64</v>
      </c>
    </row>
    <row r="3" customFormat="false" ht="15" hidden="false" customHeight="true" outlineLevel="0" collapsed="false">
      <c r="A3" s="8" t="s">
        <v>65</v>
      </c>
      <c r="B3" s="11" t="n">
        <v>18</v>
      </c>
      <c r="C3" s="8" t="s">
        <v>43</v>
      </c>
      <c r="D3" s="8" t="s">
        <v>43</v>
      </c>
      <c r="E3" s="11" t="n">
        <v>800</v>
      </c>
      <c r="F3" s="11" t="n">
        <v>2000</v>
      </c>
      <c r="G3" s="11" t="n">
        <v>4000</v>
      </c>
      <c r="H3" s="11" t="n">
        <v>1</v>
      </c>
      <c r="I3" s="8" t="s">
        <v>66</v>
      </c>
    </row>
    <row r="4" customFormat="false" ht="15" hidden="false" customHeight="true" outlineLevel="0" collapsed="false">
      <c r="A4" s="8" t="s">
        <v>67</v>
      </c>
      <c r="B4" s="11" t="n">
        <v>30</v>
      </c>
      <c r="C4" s="8" t="s">
        <v>35</v>
      </c>
      <c r="D4" s="8" t="s">
        <v>43</v>
      </c>
      <c r="E4" s="11" t="n">
        <v>2000</v>
      </c>
      <c r="F4" s="11" t="n">
        <v>4500</v>
      </c>
      <c r="G4" s="11" t="n">
        <v>8000</v>
      </c>
      <c r="H4" s="11" t="n">
        <v>1</v>
      </c>
      <c r="I4" s="8" t="s">
        <v>68</v>
      </c>
    </row>
    <row r="5" customFormat="false" ht="15" hidden="false" customHeight="true" outlineLevel="0" collapsed="false">
      <c r="A5" s="8" t="s">
        <v>69</v>
      </c>
      <c r="B5" s="11" t="n">
        <v>33</v>
      </c>
      <c r="C5" s="8" t="s">
        <v>35</v>
      </c>
      <c r="D5" s="8" t="s">
        <v>35</v>
      </c>
      <c r="E5" s="11" t="n">
        <v>1000</v>
      </c>
      <c r="F5" s="11" t="n">
        <v>1500</v>
      </c>
      <c r="G5" s="11" t="n">
        <v>2500</v>
      </c>
      <c r="H5" s="11" t="n">
        <v>13</v>
      </c>
      <c r="I5" s="8" t="s">
        <v>70</v>
      </c>
    </row>
    <row r="7" customFormat="false" ht="27.75" hidden="false" customHeight="true" outlineLevel="0" collapsed="false">
      <c r="A7" s="10" t="s">
        <v>71</v>
      </c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true" outlineLevel="0" collapsed="false">
      <c r="A8" s="10" t="s">
        <v>72</v>
      </c>
      <c r="B8" s="10"/>
      <c r="C8" s="10"/>
      <c r="D8" s="10"/>
      <c r="E8" s="10"/>
      <c r="F8" s="10"/>
      <c r="G8" s="10"/>
      <c r="H8" s="10"/>
      <c r="I8" s="10"/>
    </row>
  </sheetData>
  <mergeCells count="2">
    <mergeCell ref="A7:I7"/>
    <mergeCell ref="A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52"/>
  </cols>
  <sheetData>
    <row r="1" customFormat="false" ht="17.25" hidden="false" customHeight="true" outlineLevel="0" collapsed="false">
      <c r="A1" s="12" t="s">
        <v>73</v>
      </c>
    </row>
    <row r="3" customFormat="false" ht="15" hidden="false" customHeight="true" outlineLevel="0" collapsed="false">
      <c r="A3" s="13" t="s">
        <v>74</v>
      </c>
    </row>
    <row r="4" customFormat="false" ht="15" hidden="false" customHeight="true" outlineLevel="0" collapsed="false">
      <c r="A4" s="14" t="s">
        <v>75</v>
      </c>
      <c r="B4" s="14" t="s">
        <v>76</v>
      </c>
      <c r="C4" s="14" t="s">
        <v>77</v>
      </c>
    </row>
    <row r="5" customFormat="false" ht="15" hidden="false" customHeight="true" outlineLevel="0" collapsed="false">
      <c r="A5" s="8" t="s">
        <v>78</v>
      </c>
      <c r="B5" s="15"/>
      <c r="C5" s="16" t="s">
        <v>79</v>
      </c>
    </row>
    <row r="6" customFormat="false" ht="15" hidden="false" customHeight="true" outlineLevel="0" collapsed="false">
      <c r="A6" s="8" t="s">
        <v>80</v>
      </c>
      <c r="B6" s="15" t="n">
        <v>0.369</v>
      </c>
      <c r="C6" s="16" t="s">
        <v>81</v>
      </c>
    </row>
    <row r="7" customFormat="false" ht="15" hidden="false" customHeight="true" outlineLevel="0" collapsed="false">
      <c r="A7" s="8" t="s">
        <v>82</v>
      </c>
      <c r="B7" s="15" t="n">
        <v>0.213</v>
      </c>
      <c r="C7" s="16" t="s">
        <v>83</v>
      </c>
    </row>
    <row r="8" customFormat="false" ht="15" hidden="false" customHeight="true" outlineLevel="0" collapsed="false">
      <c r="A8" s="8" t="s">
        <v>84</v>
      </c>
      <c r="B8" s="15" t="n">
        <v>0.028</v>
      </c>
      <c r="C8" s="16" t="s">
        <v>85</v>
      </c>
    </row>
    <row r="9" customFormat="false" ht="15" hidden="false" customHeight="true" outlineLevel="0" collapsed="false">
      <c r="A9" s="8" t="s">
        <v>86</v>
      </c>
      <c r="B9" s="15" t="n">
        <v>0.713</v>
      </c>
      <c r="C9" s="16" t="s">
        <v>87</v>
      </c>
    </row>
    <row r="10" customFormat="false" ht="15" hidden="false" customHeight="true" outlineLevel="0" collapsed="false">
      <c r="A10" s="8" t="s">
        <v>88</v>
      </c>
      <c r="B10" s="15" t="n">
        <v>0.481</v>
      </c>
      <c r="C10" s="16" t="s">
        <v>89</v>
      </c>
    </row>
    <row r="12" customFormat="false" ht="15" hidden="false" customHeight="true" outlineLevel="0" collapsed="false">
      <c r="A12" s="13" t="s">
        <v>90</v>
      </c>
    </row>
    <row r="13" customFormat="false" ht="15" hidden="false" customHeight="true" outlineLevel="0" collapsed="false">
      <c r="A13" s="14" t="s">
        <v>91</v>
      </c>
      <c r="B13" s="14" t="s">
        <v>92</v>
      </c>
      <c r="C13" s="14" t="s">
        <v>93</v>
      </c>
      <c r="D13" s="14" t="s">
        <v>94</v>
      </c>
    </row>
    <row r="14" customFormat="false" ht="15" hidden="false" customHeight="true" outlineLevel="0" collapsed="false">
      <c r="A14" s="8" t="s">
        <v>95</v>
      </c>
      <c r="B14" s="17" t="n">
        <v>29.6</v>
      </c>
      <c r="C14" s="8" t="s">
        <v>96</v>
      </c>
      <c r="D14" s="16" t="s">
        <v>97</v>
      </c>
    </row>
    <row r="15" customFormat="false" ht="15" hidden="false" customHeight="true" outlineLevel="0" collapsed="false">
      <c r="A15" s="8" t="s">
        <v>98</v>
      </c>
      <c r="B15" s="18" t="n">
        <v>0.17</v>
      </c>
      <c r="C15" s="8" t="s">
        <v>99</v>
      </c>
      <c r="D15" s="16" t="s">
        <v>100</v>
      </c>
    </row>
    <row r="16" customFormat="false" ht="15" hidden="false" customHeight="true" outlineLevel="0" collapsed="false">
      <c r="A16" s="8" t="s">
        <v>101</v>
      </c>
      <c r="B16" s="18" t="n">
        <v>0.012</v>
      </c>
      <c r="C16" s="8" t="s">
        <v>102</v>
      </c>
      <c r="D16" s="16" t="s">
        <v>103</v>
      </c>
    </row>
    <row r="17" customFormat="false" ht="15" hidden="false" customHeight="true" outlineLevel="0" collapsed="false">
      <c r="A17" s="8" t="s">
        <v>104</v>
      </c>
      <c r="B17" s="17" t="n">
        <v>10791</v>
      </c>
      <c r="C17" s="8" t="s">
        <v>105</v>
      </c>
      <c r="D17" s="16" t="s">
        <v>106</v>
      </c>
    </row>
    <row r="19" customFormat="false" ht="15" hidden="false" customHeight="true" outlineLevel="0" collapsed="false">
      <c r="A19" s="13" t="s">
        <v>107</v>
      </c>
    </row>
    <row r="20" customFormat="false" ht="15" hidden="false" customHeight="true" outlineLevel="0" collapsed="false">
      <c r="A20" s="14" t="s">
        <v>91</v>
      </c>
      <c r="B20" s="14" t="s">
        <v>92</v>
      </c>
      <c r="C20" s="14" t="s">
        <v>93</v>
      </c>
      <c r="D20" s="14" t="s">
        <v>94</v>
      </c>
    </row>
    <row r="21" customFormat="false" ht="15" hidden="false" customHeight="true" outlineLevel="0" collapsed="false">
      <c r="A21" s="8" t="s">
        <v>108</v>
      </c>
      <c r="B21" s="11" t="n">
        <v>2500000000</v>
      </c>
      <c r="C21" s="8" t="s">
        <v>109</v>
      </c>
      <c r="D21" s="16" t="s">
        <v>110</v>
      </c>
    </row>
    <row r="23" customFormat="false" ht="15" hidden="false" customHeight="true" outlineLevel="0" collapsed="false">
      <c r="A23" s="19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8"/>
    <col collapsed="false" customWidth="true" hidden="true" outlineLevel="0" max="5" min="5" style="1" width="13"/>
  </cols>
  <sheetData>
    <row r="1" customFormat="false" ht="17.25" hidden="false" customHeight="true" outlineLevel="0" collapsed="false">
      <c r="A1" s="12" t="s">
        <v>112</v>
      </c>
    </row>
    <row r="2" customFormat="false" ht="15" hidden="false" customHeight="true" outlineLevel="0" collapsed="false">
      <c r="A2" s="19" t="s">
        <v>113</v>
      </c>
    </row>
    <row r="4" customFormat="false" ht="15" hidden="false" customHeight="true" outlineLevel="0" collapsed="false">
      <c r="A4" s="13" t="s">
        <v>114</v>
      </c>
    </row>
    <row r="5" customFormat="false" ht="15" hidden="false" customHeight="true" outlineLevel="0" collapsed="false">
      <c r="A5" s="8" t="s">
        <v>54</v>
      </c>
      <c r="B5" s="20" t="s">
        <v>65</v>
      </c>
      <c r="E5" s="21" t="s">
        <v>115</v>
      </c>
    </row>
    <row r="6" customFormat="false" ht="15" hidden="false" customHeight="true" outlineLevel="0" collapsed="false">
      <c r="A6" s="8" t="s">
        <v>116</v>
      </c>
      <c r="B6" s="20" t="s">
        <v>31</v>
      </c>
      <c r="E6" s="21" t="s">
        <v>117</v>
      </c>
    </row>
    <row r="7" customFormat="false" ht="15" hidden="false" customHeight="true" outlineLevel="0" collapsed="false">
      <c r="A7" s="8" t="s">
        <v>118</v>
      </c>
      <c r="B7" s="20" t="s">
        <v>51</v>
      </c>
    </row>
    <row r="8" customFormat="false" ht="15" hidden="false" customHeight="true" outlineLevel="0" collapsed="false">
      <c r="A8" s="8" t="s">
        <v>119</v>
      </c>
      <c r="B8" s="11" t="n">
        <v>1000</v>
      </c>
    </row>
    <row r="9" customFormat="false" ht="15" hidden="false" customHeight="true" outlineLevel="0" collapsed="false">
      <c r="A9" s="8" t="s">
        <v>120</v>
      </c>
      <c r="B9" s="20" t="s">
        <v>78</v>
      </c>
    </row>
    <row r="10" customFormat="false" ht="15" hidden="false" customHeight="true" outlineLevel="0" collapsed="false">
      <c r="A10" s="8" t="s">
        <v>121</v>
      </c>
      <c r="B10" s="20" t="s">
        <v>117</v>
      </c>
    </row>
    <row r="12" customFormat="false" ht="15" hidden="false" customHeight="true" outlineLevel="0" collapsed="false">
      <c r="A12" s="14"/>
      <c r="B12" s="14" t="s">
        <v>122</v>
      </c>
      <c r="C12" s="14" t="s">
        <v>123</v>
      </c>
    </row>
    <row r="13" customFormat="false" ht="15" hidden="false" customHeight="true" outlineLevel="0" collapsed="false">
      <c r="A13" s="8" t="s">
        <v>124</v>
      </c>
      <c r="B13" s="22" t="n">
        <f aca="false">INDEX(Models!$D$2:$D$9,MATCH($B$6,Models!$B$2:$B$9,0))</f>
        <v>45</v>
      </c>
      <c r="C13" s="22" t="n">
        <f aca="false">INDEX(Models!$D$2:$D$9,MATCH($B$7,Models!$B$2:$B$9,0))</f>
        <v>27</v>
      </c>
    </row>
    <row r="14" customFormat="false" ht="15" hidden="false" customHeight="true" outlineLevel="0" collapsed="false">
      <c r="A14" s="8" t="s">
        <v>19</v>
      </c>
      <c r="B14" s="8" t="str">
        <f aca="false">INDEX(Models!$F$2:$F$9,MATCH($B$6,Models!$B$2:$B$9,0))</f>
        <v>high</v>
      </c>
      <c r="C14" s="8" t="str">
        <f aca="false">INDEX(Models!$F$2:$F$9,MATCH($B$7,Models!$B$2:$B$9,0))</f>
        <v>none</v>
      </c>
    </row>
    <row r="15" customFormat="false" ht="15" hidden="false" customHeight="true" outlineLevel="0" collapsed="false">
      <c r="A15" s="8" t="s">
        <v>125</v>
      </c>
      <c r="B15" s="23" t="n">
        <f aca="false">IF(B14="none",INDEX(Tasks!$E$2:$E$5,MATCH($B$5,Tasks!$A$2:$A$5,0)),IF(B14="medium",INDEX(Tasks!$F$2:$F$5,MATCH($B$5,Tasks!$A$2:$A$5,0)),INDEX(Tasks!$G$2:$G$5,MATCH($B$5,Tasks!$A$2:$A$5,0))))</f>
        <v>4000</v>
      </c>
      <c r="C15" s="23" t="n">
        <f aca="false">IF(C14="none",INDEX(Tasks!$E$2:$E$5,MATCH($B$5,Tasks!$A$2:$A$5,0)),IF(C14="medium",INDEX(Tasks!$F$2:$F$5,MATCH($B$5,Tasks!$A$2:$A$5,0)),INDEX(Tasks!$G$2:$G$5,MATCH($B$5,Tasks!$A$2:$A$5,0))))</f>
        <v>800</v>
      </c>
    </row>
    <row r="16" customFormat="false" ht="15" hidden="false" customHeight="true" outlineLevel="0" collapsed="false">
      <c r="A16" s="8" t="s">
        <v>61</v>
      </c>
      <c r="B16" s="22" t="n">
        <f aca="false">INDEX(Tasks!$H$2:$H$5,MATCH($B$5,Tasks!$A$2:$A$5,0))</f>
        <v>1</v>
      </c>
      <c r="C16" s="22" t="n">
        <f aca="false">INDEX(Tasks!$H$2:$H$5,MATCH($B$5,Tasks!$A$2:$A$5,0))</f>
        <v>1</v>
      </c>
    </row>
    <row r="17" customFormat="false" ht="15" hidden="false" customHeight="true" outlineLevel="0" collapsed="false">
      <c r="A17" s="8" t="s">
        <v>126</v>
      </c>
      <c r="B17" s="23" t="n">
        <f aca="false">B15*B16</f>
        <v>4000</v>
      </c>
      <c r="C17" s="23" t="n">
        <f aca="false">C15*C16</f>
        <v>800</v>
      </c>
    </row>
    <row r="18" customFormat="false" ht="15" hidden="false" customHeight="true" outlineLevel="0" collapsed="false">
      <c r="A18" s="8" t="s">
        <v>127</v>
      </c>
      <c r="B18" s="9" t="n">
        <f aca="false">INDEX(Models!$L$2:$L$9,MATCH($B$6,Models!$B$2:$B$9,0))/1500*B17</f>
        <v>56.8293333333333</v>
      </c>
      <c r="C18" s="9" t="n">
        <f aca="false">INDEX(Models!$L$2:$L$9,MATCH($B$7,Models!$B$2:$B$9,0))/1500*C17</f>
        <v>1.23413333333333</v>
      </c>
    </row>
    <row r="19" customFormat="false" ht="15" hidden="false" customHeight="true" outlineLevel="0" collapsed="false">
      <c r="A19" s="8" t="s">
        <v>128</v>
      </c>
      <c r="B19" s="9" t="n">
        <f aca="false">INDEX(Models!$K$2:$K$9,MATCH($B$6,Models!$B$2:$B$9,0))/1500*B17</f>
        <v>32.92</v>
      </c>
      <c r="C19" s="9" t="n">
        <f aca="false">INDEX(Models!$K$2:$K$9,MATCH($B$7,Models!$B$2:$B$9,0))/1500*C17</f>
        <v>0.605333333333333</v>
      </c>
    </row>
    <row r="20" customFormat="false" ht="15" hidden="false" customHeight="true" outlineLevel="0" collapsed="false">
      <c r="A20" s="8" t="s">
        <v>129</v>
      </c>
      <c r="B20" s="9" t="n">
        <f aca="false">INDEX(Models!$M$2:$M$9,MATCH($B$6,Models!$B$2:$B$9,0))/1500*B17</f>
        <v>80.7413333333333</v>
      </c>
      <c r="C20" s="9" t="n">
        <f aca="false">INDEX(Models!$M$2:$M$9,MATCH($B$7,Models!$B$2:$B$9,0))/1500*C17</f>
        <v>1.86346666666667</v>
      </c>
    </row>
    <row r="21" customFormat="false" ht="15" hidden="false" customHeight="true" outlineLevel="0" collapsed="false">
      <c r="A21" s="8" t="s">
        <v>130</v>
      </c>
      <c r="B21" s="8" t="str">
        <f aca="false">IF(OR(B13&lt;INDEX(Tasks!$B$2:$B$5,MATCH($B$5,Tasks!$A$2:$A$5,0)),AND(INDEX(Tasks!$C$2:$C$5,MATCH($B$5,Tasks!$A$2:$A$5,0))="yes",INDEX(Models!$G$2:$G$9,MATCH($B$6,Models!$B$2:$B$9,0))="no"),AND(INDEX(Tasks!$D$2:$D$5,MATCH($B$5,Tasks!$A$2:$A$5,0))="yes",INDEX(Models!$H$2:$H$9,MATCH($B$6,Models!$B$2:$B$9,0))="no")),"Warning: likely not capable of this task","OK")</f>
        <v>OK</v>
      </c>
      <c r="C21" s="8" t="str">
        <f aca="false">IF(OR(C13&lt;INDEX(Tasks!$B$2:$B$5,MATCH($B$5,Tasks!$A$2:$A$5,0)),AND(INDEX(Tasks!$C$2:$C$5,MATCH($B$5,Tasks!$A$2:$A$5,0))="yes",INDEX(Models!$G$2:$G$9,MATCH($B$7,Models!$B$2:$B$9,0))="no"),AND(INDEX(Tasks!$D$2:$D$5,MATCH($B$5,Tasks!$A$2:$A$5,0))="yes",INDEX(Models!$H$2:$H$9,MATCH($B$7,Models!$B$2:$B$9,0))="no")),"Warning: likely not capable of this task","OK")</f>
        <v>OK</v>
      </c>
    </row>
    <row r="22" customFormat="false" ht="15" hidden="false" customHeight="true" outlineLevel="0" collapsed="false">
      <c r="A22" s="8" t="s">
        <v>131</v>
      </c>
      <c r="B22" s="24" t="n">
        <f aca="false">MAX(0.35,MIN(0.97,0.6+0.02*(B13-INDEX(Tasks!$B$2:$B$5,MATCH($B$5,Tasks!$A$2:$A$5,0)))))</f>
        <v>0.97</v>
      </c>
      <c r="C22" s="24" t="n">
        <f aca="false">MAX(0.35,MIN(0.97,0.6+0.02*(C13-INDEX(Tasks!$B$2:$B$5,MATCH($B$5,Tasks!$A$2:$A$5,0)))))</f>
        <v>0.78</v>
      </c>
    </row>
    <row r="23" customFormat="false" ht="15" hidden="false" customHeight="true" outlineLevel="0" collapsed="false">
      <c r="A23" s="8" t="s">
        <v>132</v>
      </c>
      <c r="B23" s="9" t="n">
        <f aca="false">IF($B$10="Yes",B18/B22,B18)</f>
        <v>56.8293333333333</v>
      </c>
      <c r="C23" s="9" t="n">
        <f aca="false">IF($B$10="Yes",C18/C22,C18)</f>
        <v>1.23413333333333</v>
      </c>
    </row>
    <row r="24" customFormat="false" ht="15" hidden="false" customHeight="true" outlineLevel="0" collapsed="false">
      <c r="A24" s="8" t="s">
        <v>133</v>
      </c>
      <c r="B24" s="25" t="n">
        <f aca="false">B23*$B$8/1000</f>
        <v>56.8293333333333</v>
      </c>
      <c r="C24" s="25" t="n">
        <f aca="false">C23*$B$8/1000</f>
        <v>1.23413333333333</v>
      </c>
    </row>
    <row r="25" customFormat="false" ht="15" hidden="false" customHeight="true" outlineLevel="0" collapsed="false">
      <c r="A25" s="8" t="s">
        <v>105</v>
      </c>
      <c r="B25" s="23" t="n">
        <f aca="false">B24*12</f>
        <v>681.952</v>
      </c>
      <c r="C25" s="23" t="n">
        <f aca="false">C24*12</f>
        <v>14.8096</v>
      </c>
    </row>
    <row r="27" customFormat="false" ht="15" hidden="false" customHeight="true" outlineLevel="0" collapsed="false">
      <c r="A27" s="13" t="s">
        <v>134</v>
      </c>
    </row>
    <row r="28" customFormat="false" ht="15" hidden="false" customHeight="true" outlineLevel="0" collapsed="false">
      <c r="A28" s="8" t="s">
        <v>135</v>
      </c>
      <c r="B28" s="9" t="n">
        <f aca="false">B23-C23</f>
        <v>55.5952</v>
      </c>
    </row>
    <row r="29" customFormat="false" ht="15" hidden="false" customHeight="true" outlineLevel="0" collapsed="false">
      <c r="A29" s="8" t="s">
        <v>136</v>
      </c>
      <c r="B29" s="26" t="n">
        <f aca="false">IF(B23=0,"",(B23-C23)/B23)</f>
        <v>0.978283515555347</v>
      </c>
    </row>
    <row r="30" customFormat="false" ht="15" hidden="false" customHeight="true" outlineLevel="0" collapsed="false">
      <c r="A30" s="8" t="s">
        <v>137</v>
      </c>
      <c r="B30" s="23" t="n">
        <f aca="false">B25-C25</f>
        <v>667.1424</v>
      </c>
    </row>
    <row r="31" customFormat="false" ht="15" hidden="false" customHeight="true" outlineLevel="0" collapsed="false">
      <c r="A31" s="8" t="s">
        <v>138</v>
      </c>
      <c r="B31" s="23" t="n">
        <f aca="false">(B19-C20)*$B$8*12/1000</f>
        <v>372.6784</v>
      </c>
    </row>
    <row r="32" customFormat="false" ht="15" hidden="false" customHeight="true" outlineLevel="0" collapsed="false">
      <c r="A32" s="8" t="s">
        <v>139</v>
      </c>
      <c r="B32" s="23" t="n">
        <f aca="false">(B20-C19)*$B$8*12/1000</f>
        <v>961.632</v>
      </c>
    </row>
    <row r="34" customFormat="false" ht="15" hidden="false" customHeight="true" outlineLevel="0" collapsed="false">
      <c r="A34" s="13" t="s">
        <v>140</v>
      </c>
    </row>
    <row r="35" customFormat="false" ht="15" hidden="false" customHeight="true" outlineLevel="0" collapsed="false">
      <c r="A35" s="8" t="s">
        <v>141</v>
      </c>
      <c r="B35" s="25" t="n">
        <f aca="false">ABS(B30)/Assumptions!$B$14</f>
        <v>22.5385945945946</v>
      </c>
    </row>
    <row r="36" customFormat="false" ht="15" hidden="false" customHeight="true" outlineLevel="0" collapsed="false">
      <c r="A36" s="8" t="s">
        <v>142</v>
      </c>
      <c r="B36" s="23" t="n">
        <f aca="false">ABS(B30)/Assumptions!$B$15</f>
        <v>3924.36705882353</v>
      </c>
    </row>
    <row r="37" customFormat="false" ht="15" hidden="false" customHeight="true" outlineLevel="0" collapsed="false">
      <c r="A37" s="8" t="s">
        <v>143</v>
      </c>
      <c r="B37" s="23" t="n">
        <f aca="false">ABS(B30)/Assumptions!$B$16</f>
        <v>55595.2</v>
      </c>
    </row>
    <row r="39" customFormat="false" ht="15" hidden="false" customHeight="true" outlineLevel="0" collapsed="false">
      <c r="A39" s="13" t="s">
        <v>144</v>
      </c>
    </row>
    <row r="40" customFormat="false" ht="15" hidden="false" customHeight="true" outlineLevel="0" collapsed="false">
      <c r="A40" s="8" t="s">
        <v>145</v>
      </c>
      <c r="B40" s="23" t="n">
        <f aca="false">IF($B$9="Host default",B25*INDEX(Models!$O$2:$O$9,MATCH($B$6,Models!$B$2:$B$9,0))-C25*INDEX(Models!$O$2:$O$9,MATCH($B$7,Models!$B$2:$B$9,0)),B30*INDEX(Assumptions!$B$5:$B$10,MATCH($B$9,Assumptions!$A$5:$A$10,0)))</f>
        <v>228.4426624</v>
      </c>
    </row>
    <row r="42" customFormat="false" ht="30" hidden="false" customHeight="true" outlineLevel="0" collapsed="false">
      <c r="A42" s="10" t="s">
        <v>146</v>
      </c>
      <c r="B42" s="10"/>
      <c r="C42" s="10"/>
    </row>
  </sheetData>
  <mergeCells count="1">
    <mergeCell ref="A42:C42"/>
  </mergeCells>
  <dataValidations count="5">
    <dataValidation allowBlank="false" errorStyle="stop" operator="between" showDropDown="false" showErrorMessage="false" showInputMessage="false" sqref="B5" type="list">
      <formula1>TaskList</formula1>
      <formula2>0</formula2>
    </dataValidation>
    <dataValidation allowBlank="false" errorStyle="stop" operator="between" showDropDown="false" showErrorMessage="false" showInputMessage="false" sqref="B6" type="list">
      <formula1>ModelList</formula1>
      <formula2>0</formula2>
    </dataValidation>
    <dataValidation allowBlank="false" errorStyle="stop" operator="between" showDropDown="false" showErrorMessage="false" showInputMessage="false" sqref="B7" type="list">
      <formula1>ModelList</formula1>
      <formula2>0</formula2>
    </dataValidation>
    <dataValidation allowBlank="false" errorStyle="stop" operator="between" showDropDown="false" showErrorMessage="false" showInputMessage="false" sqref="B9" type="list">
      <formula1>GridList</formula1>
      <formula2>0</formula2>
    </dataValidation>
    <dataValidation allowBlank="false" errorStyle="stop" operator="between" showDropDown="false" showErrorMessage="false" showInputMessage="false" sqref="B10" type="list">
      <formula1>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5" min="4" style="1" width="20"/>
  </cols>
  <sheetData>
    <row r="1" customFormat="false" ht="17.25" hidden="false" customHeight="true" outlineLevel="0" collapsed="false">
      <c r="A1" s="12" t="s">
        <v>147</v>
      </c>
    </row>
    <row r="3" customFormat="false" ht="15" hidden="false" customHeight="true" outlineLevel="0" collapsed="false">
      <c r="A3" s="13" t="s">
        <v>148</v>
      </c>
    </row>
    <row r="4" customFormat="false" ht="15" hidden="false" customHeight="true" outlineLevel="0" collapsed="false">
      <c r="A4" s="19" t="s">
        <v>149</v>
      </c>
    </row>
    <row r="5" customFormat="false" ht="15" hidden="false" customHeight="true" outlineLevel="0" collapsed="false">
      <c r="A5" s="8" t="s">
        <v>150</v>
      </c>
      <c r="B5" s="20" t="s">
        <v>31</v>
      </c>
    </row>
    <row r="7" customFormat="false" ht="15" hidden="false" customHeight="true" outlineLevel="0" collapsed="false">
      <c r="A7" s="14" t="s">
        <v>151</v>
      </c>
      <c r="B7" s="14" t="s">
        <v>152</v>
      </c>
      <c r="C7" s="14" t="s">
        <v>153</v>
      </c>
      <c r="D7" s="14" t="s">
        <v>154</v>
      </c>
      <c r="E7" s="14" t="s">
        <v>155</v>
      </c>
    </row>
    <row r="8" customFormat="false" ht="15" hidden="false" customHeight="true" outlineLevel="0" collapsed="false">
      <c r="A8" s="8" t="str">
        <f aca="false">Tasks!$A$2</f>
        <v>Classify or extract</v>
      </c>
      <c r="B8" s="27" t="n">
        <v>0.55</v>
      </c>
      <c r="C8" s="20" t="s">
        <v>40</v>
      </c>
      <c r="D8" s="9" t="n">
        <f aca="false">INDEX(Models!$L$2:$L$9,MATCH($B$5,Models!$B$2:$B$9,0))/1500*IF(INDEX(Models!$F$2:$F$9,MATCH($B$5,Models!$B$2:$B$9,0))="none",Tasks!$E$2,IF(INDEX(Models!$F$2:$F$9,MATCH($B$5,Models!$B$2:$B$9,0))="medium",Tasks!$F$2,Tasks!$G$2))*Tasks!$H$2</f>
        <v>21.311</v>
      </c>
      <c r="E8" s="9" t="n">
        <f aca="false">INDEX(Models!$L$2:$L$9,MATCH($C8,Models!$B$2:$B$9,0))/1500*IF(INDEX(Models!$F$2:$F$9,MATCH($C8,Models!$B$2:$B$9,0))="none",Tasks!$E$2,IF(INDEX(Models!$F$2:$F$9,MATCH($C8,Models!$B$2:$B$9,0))="medium",Tasks!$F$2,Tasks!$G$2))*Tasks!$H$2</f>
        <v>0.0634</v>
      </c>
    </row>
    <row r="9" customFormat="false" ht="15" hidden="false" customHeight="true" outlineLevel="0" collapsed="false">
      <c r="A9" s="8" t="str">
        <f aca="false">Tasks!$A$3</f>
        <v>Draft an email or summary</v>
      </c>
      <c r="B9" s="27" t="n">
        <v>0.3</v>
      </c>
      <c r="C9" s="20" t="s">
        <v>51</v>
      </c>
      <c r="D9" s="9" t="n">
        <f aca="false">INDEX(Models!$L$2:$L$9,MATCH($B$5,Models!$B$2:$B$9,0))/1500*IF(INDEX(Models!$F$2:$F$9,MATCH($B$5,Models!$B$2:$B$9,0))="none",Tasks!$E$3,IF(INDEX(Models!$F$2:$F$9,MATCH($B$5,Models!$B$2:$B$9,0))="medium",Tasks!$F$3,Tasks!$G$3))*Tasks!$H$3</f>
        <v>56.8293333333333</v>
      </c>
      <c r="E9" s="9" t="n">
        <f aca="false">INDEX(Models!$L$2:$L$9,MATCH($C9,Models!$B$2:$B$9,0))/1500*IF(INDEX(Models!$F$2:$F$9,MATCH($C9,Models!$B$2:$B$9,0))="none",Tasks!$E$3,IF(INDEX(Models!$F$2:$F$9,MATCH($C9,Models!$B$2:$B$9,0))="medium",Tasks!$F$3,Tasks!$G$3))*Tasks!$H$3</f>
        <v>1.23413333333333</v>
      </c>
    </row>
    <row r="10" customFormat="false" ht="15" hidden="false" customHeight="true" outlineLevel="0" collapsed="false">
      <c r="A10" s="8" t="str">
        <f aca="false">Tasks!$A$4</f>
        <v>Complex analysis</v>
      </c>
      <c r="B10" s="27" t="n">
        <v>0.12</v>
      </c>
      <c r="C10" s="20" t="s">
        <v>50</v>
      </c>
      <c r="D10" s="9" t="n">
        <f aca="false">INDEX(Models!$L$2:$L$9,MATCH($B$5,Models!$B$2:$B$9,0))/1500*IF(INDEX(Models!$F$2:$F$9,MATCH($B$5,Models!$B$2:$B$9,0))="none",Tasks!$E$4,IF(INDEX(Models!$F$2:$F$9,MATCH($B$5,Models!$B$2:$B$9,0))="medium",Tasks!$F$4,Tasks!$G$4))*Tasks!$H$4</f>
        <v>113.658666666667</v>
      </c>
      <c r="E10" s="9" t="n">
        <f aca="false">INDEX(Models!$L$2:$L$9,MATCH($C10,Models!$B$2:$B$9,0))/1500*IF(INDEX(Models!$F$2:$F$9,MATCH($C10,Models!$B$2:$B$9,0))="none",Tasks!$E$4,IF(INDEX(Models!$F$2:$F$9,MATCH($C10,Models!$B$2:$B$9,0))="medium",Tasks!$F$4,Tasks!$G$4))*Tasks!$H$4</f>
        <v>9.465</v>
      </c>
    </row>
    <row r="11" customFormat="false" ht="15" hidden="false" customHeight="true" outlineLevel="0" collapsed="false">
      <c r="A11" s="8" t="str">
        <f aca="false">Tasks!$A$5</f>
        <v>Agentic multi-step job</v>
      </c>
      <c r="B11" s="27" t="n">
        <v>0.03</v>
      </c>
      <c r="C11" s="20" t="s">
        <v>50</v>
      </c>
      <c r="D11" s="9" t="n">
        <f aca="false">INDEX(Models!$L$2:$L$9,MATCH($B$5,Models!$B$2:$B$9,0))/1500*IF(INDEX(Models!$F$2:$F$9,MATCH($B$5,Models!$B$2:$B$9,0))="none",Tasks!$E$5,IF(INDEX(Models!$F$2:$F$9,MATCH($B$5,Models!$B$2:$B$9,0))="medium",Tasks!$F$5,Tasks!$G$5))*Tasks!$H$5</f>
        <v>461.738333333333</v>
      </c>
      <c r="E11" s="9" t="n">
        <f aca="false">INDEX(Models!$L$2:$L$9,MATCH($C11,Models!$B$2:$B$9,0))/1500*IF(INDEX(Models!$F$2:$F$9,MATCH($C11,Models!$B$2:$B$9,0))="none",Tasks!$E$5,IF(INDEX(Models!$F$2:$F$9,MATCH($C11,Models!$B$2:$B$9,0))="medium",Tasks!$F$5,Tasks!$G$5))*Tasks!$H$5</f>
        <v>41.015</v>
      </c>
    </row>
    <row r="13" customFormat="false" ht="15" hidden="false" customHeight="true" outlineLevel="0" collapsed="false">
      <c r="A13" s="8" t="s">
        <v>156</v>
      </c>
      <c r="B13" s="24" t="n">
        <f aca="false">SUM(B8:B11)</f>
        <v>1</v>
      </c>
    </row>
    <row r="14" customFormat="false" ht="15" hidden="false" customHeight="true" outlineLevel="0" collapsed="false">
      <c r="A14" s="8" t="s">
        <v>157</v>
      </c>
      <c r="B14" s="9" t="n">
        <f aca="false">SUMPRODUCT($B$8:$B$11,D8:D11)</f>
        <v>56.26104</v>
      </c>
    </row>
    <row r="15" customFormat="false" ht="15" hidden="false" customHeight="true" outlineLevel="0" collapsed="false">
      <c r="A15" s="8" t="s">
        <v>158</v>
      </c>
      <c r="B15" s="9" t="n">
        <f aca="false">SUMPRODUCT($B$8:$B$11,E8:E11)</f>
        <v>2.77136</v>
      </c>
    </row>
    <row r="16" customFormat="false" ht="15" hidden="false" customHeight="true" outlineLevel="0" collapsed="false">
      <c r="A16" s="8" t="s">
        <v>159</v>
      </c>
      <c r="B16" s="26" t="n">
        <f aca="false">IF(B14=0,"",1-B15/B14)</f>
        <v>0.950741045668548</v>
      </c>
    </row>
    <row r="18" customFormat="false" ht="15" hidden="false" customHeight="true" outlineLevel="0" collapsed="false">
      <c r="A18" s="8" t="s">
        <v>160</v>
      </c>
      <c r="B18" s="27" t="n">
        <v>0.5</v>
      </c>
    </row>
    <row r="19" customFormat="false" ht="15" hidden="false" customHeight="true" outlineLevel="0" collapsed="false">
      <c r="A19" s="8" t="s">
        <v>161</v>
      </c>
      <c r="B19" s="23" t="n">
        <f aca="false">(B14-B15)*B18*Assumptions!$B$21*365/1000000000</f>
        <v>24404.6665</v>
      </c>
    </row>
    <row r="20" customFormat="false" ht="15" hidden="false" customHeight="true" outlineLevel="0" collapsed="false">
      <c r="A20" s="8" t="s">
        <v>162</v>
      </c>
      <c r="B20" s="23" t="n">
        <f aca="false">B19*1000000/Assumptions!$B$17</f>
        <v>2261575.9892503</v>
      </c>
    </row>
    <row r="21" customFormat="false" ht="15" hidden="false" customHeight="true" outlineLevel="0" collapsed="false">
      <c r="A21" s="8" t="s">
        <v>163</v>
      </c>
      <c r="B21" s="23" t="n">
        <f aca="false">B19*1000000*Assumptions!$B$10/1000</f>
        <v>11738644.5865</v>
      </c>
    </row>
    <row r="24" customFormat="false" ht="15" hidden="false" customHeight="true" outlineLevel="0" collapsed="false">
      <c r="A24" s="13" t="s">
        <v>164</v>
      </c>
    </row>
    <row r="25" customFormat="false" ht="15" hidden="false" customHeight="true" outlineLevel="0" collapsed="false">
      <c r="A25" s="19" t="s">
        <v>165</v>
      </c>
    </row>
    <row r="26" customFormat="false" ht="15" hidden="false" customHeight="true" outlineLevel="0" collapsed="false">
      <c r="A26" s="8" t="s">
        <v>166</v>
      </c>
      <c r="B26" s="23" t="n">
        <f aca="false">Assumptions!$B$21</f>
        <v>2500000000</v>
      </c>
    </row>
    <row r="27" customFormat="false" ht="15" hidden="false" customHeight="true" outlineLevel="0" collapsed="false">
      <c r="A27" s="8" t="s">
        <v>167</v>
      </c>
      <c r="B27" s="28" t="n">
        <v>0.01</v>
      </c>
    </row>
    <row r="28" customFormat="false" ht="15" hidden="false" customHeight="true" outlineLevel="0" collapsed="false">
      <c r="A28" s="8" t="s">
        <v>168</v>
      </c>
      <c r="B28" s="20" t="s">
        <v>31</v>
      </c>
    </row>
    <row r="29" customFormat="false" ht="15" hidden="false" customHeight="true" outlineLevel="0" collapsed="false">
      <c r="A29" s="8" t="s">
        <v>169</v>
      </c>
      <c r="B29" s="20" t="s">
        <v>37</v>
      </c>
    </row>
    <row r="31" customFormat="false" ht="15" hidden="false" customHeight="true" outlineLevel="0" collapsed="false">
      <c r="A31" s="8" t="s">
        <v>170</v>
      </c>
      <c r="B31" s="8" t="str">
        <f aca="false">TEXT(INDEX(Models!$L$2:$L$9,MATCH($B$28,Models!$B$2:$B$9,0)),"0.00")&amp;" / "&amp;TEXT(INDEX(Models!$L$2:$L$9,MATCH($B$29,Models!$B$2:$B$9,0)),"0.00")</f>
        <v>21.31 / 3.65</v>
      </c>
    </row>
    <row r="32" customFormat="false" ht="15" hidden="false" customHeight="true" outlineLevel="0" collapsed="false">
      <c r="A32" s="8" t="s">
        <v>171</v>
      </c>
      <c r="B32" s="25" t="n">
        <f aca="false">(INDEX(Models!$L$2:$L$9,MATCH($B$28,Models!$B$2:$B$9,0))-INDEX(Models!$L$2:$L$9,MATCH($B$29,Models!$B$2:$B$9,0)))*B26*B27*365/1000000000</f>
        <v>161.156625</v>
      </c>
    </row>
    <row r="33" customFormat="false" ht="15" hidden="false" customHeight="true" outlineLevel="0" collapsed="false">
      <c r="A33" s="8" t="s">
        <v>172</v>
      </c>
      <c r="B33" s="23" t="n">
        <f aca="false">ABS(B32)*1000000/Assumptions!$B$17</f>
        <v>14934.3550180706</v>
      </c>
    </row>
    <row r="34" customFormat="false" ht="15" hidden="false" customHeight="true" outlineLevel="0" collapsed="false">
      <c r="A34" s="8" t="s">
        <v>173</v>
      </c>
      <c r="B34" s="23" t="n">
        <f aca="false">B32*1000000*Assumptions!$B$10/1000</f>
        <v>77516.336625</v>
      </c>
    </row>
    <row r="37" customFormat="false" ht="15" hidden="false" customHeight="true" outlineLevel="0" collapsed="false">
      <c r="A37" s="13" t="s">
        <v>174</v>
      </c>
    </row>
    <row r="38" customFormat="false" ht="15" hidden="false" customHeight="true" outlineLevel="0" collapsed="false">
      <c r="A38" s="8" t="s">
        <v>15</v>
      </c>
      <c r="B38" s="20" t="s">
        <v>47</v>
      </c>
    </row>
    <row r="39" customFormat="false" ht="15" hidden="false" customHeight="true" outlineLevel="0" collapsed="false">
      <c r="A39" s="8" t="s">
        <v>175</v>
      </c>
      <c r="B39" s="23" t="n">
        <f aca="false">INDEX(Models!$L$2:$L$9,MATCH($B$38,Models!$B$2:$B$9,0))*1000000/1000</f>
        <v>9790</v>
      </c>
    </row>
    <row r="40" customFormat="false" ht="15" hidden="false" customHeight="true" outlineLevel="0" collapsed="false">
      <c r="A40" s="8" t="s">
        <v>176</v>
      </c>
      <c r="B40" s="9" t="n">
        <f aca="false">B39*Assumptions!$B$8/1000</f>
        <v>0.27412</v>
      </c>
    </row>
    <row r="41" customFormat="false" ht="15" hidden="false" customHeight="true" outlineLevel="0" collapsed="false">
      <c r="A41" s="8" t="s">
        <v>177</v>
      </c>
      <c r="B41" s="9" t="n">
        <f aca="false">B39*Assumptions!$B$9/1000</f>
        <v>6.98027</v>
      </c>
    </row>
    <row r="42" customFormat="false" ht="15" hidden="false" customHeight="true" outlineLevel="0" collapsed="false">
      <c r="A42" s="8" t="s">
        <v>178</v>
      </c>
      <c r="B42" s="29" t="n">
        <f aca="false">IF(B40=0,"",B41/B40)</f>
        <v>25.4642857142857</v>
      </c>
    </row>
  </sheetData>
  <dataValidations count="8">
    <dataValidation allowBlank="false" errorStyle="stop" operator="between" showDropDown="false" showErrorMessage="false" showInputMessage="false" sqref="B5" type="list">
      <formula1>ModelList</formula1>
      <formula2>0</formula2>
    </dataValidation>
    <dataValidation allowBlank="false" errorStyle="stop" operator="between" showDropDown="false" showErrorMessage="false" showInputMessage="false" sqref="C8" type="list">
      <formula1>ModelList</formula1>
      <formula2>0</formula2>
    </dataValidation>
    <dataValidation allowBlank="false" errorStyle="stop" operator="between" showDropDown="false" showErrorMessage="false" showInputMessage="false" sqref="C9" type="list">
      <formula1>ModelList</formula1>
      <formula2>0</formula2>
    </dataValidation>
    <dataValidation allowBlank="false" errorStyle="stop" operator="between" showDropDown="false" showErrorMessage="false" showInputMessage="false" sqref="C10" type="list">
      <formula1>ModelList</formula1>
      <formula2>0</formula2>
    </dataValidation>
    <dataValidation allowBlank="false" errorStyle="stop" operator="between" showDropDown="false" showErrorMessage="false" showInputMessage="false" sqref="C11" type="list">
      <formula1>ModelList</formula1>
      <formula2>0</formula2>
    </dataValidation>
    <dataValidation allowBlank="false" errorStyle="stop" operator="between" showDropDown="false" showErrorMessage="false" showInputMessage="false" sqref="B28" type="list">
      <formula1>ModelList</formula1>
      <formula2>0</formula2>
    </dataValidation>
    <dataValidation allowBlank="false" errorStyle="stop" operator="between" showDropDown="false" showErrorMessage="false" showInputMessage="false" sqref="B29" type="list">
      <formula1>ModelList</formula1>
      <formula2>0</formula2>
    </dataValidation>
    <dataValidation allowBlank="false" errorStyle="stop" operator="between" showDropDown="false" showErrorMessage="false" showInputMessage="false" sqref="B38" type="list">
      <formula1>ModelList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5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30" t="s">
        <v>179</v>
      </c>
    </row>
    <row r="2" customFormat="false" ht="25.5" hidden="false" customHeight="true" outlineLevel="0" collapsed="false">
      <c r="A2" s="10" t="s">
        <v>180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31" t="s">
        <v>181</v>
      </c>
    </row>
    <row r="5" customFormat="false" ht="15" hidden="false" customHeight="false" outlineLevel="0" collapsed="false">
      <c r="A5" s="32" t="s">
        <v>182</v>
      </c>
      <c r="B5" s="33" t="n">
        <v>120000</v>
      </c>
      <c r="C5" s="34" t="s">
        <v>183</v>
      </c>
    </row>
    <row r="6" customFormat="false" ht="15" hidden="false" customHeight="false" outlineLevel="0" collapsed="false">
      <c r="A6" s="32" t="s">
        <v>184</v>
      </c>
      <c r="B6" s="33" t="n">
        <v>80</v>
      </c>
      <c r="C6" s="34" t="s">
        <v>185</v>
      </c>
    </row>
    <row r="7" customFormat="false" ht="15" hidden="false" customHeight="false" outlineLevel="0" collapsed="false">
      <c r="A7" s="32" t="s">
        <v>186</v>
      </c>
      <c r="B7" s="35" t="n">
        <v>0.481</v>
      </c>
      <c r="C7" s="34" t="s">
        <v>187</v>
      </c>
    </row>
    <row r="8" customFormat="false" ht="15" hidden="false" customHeight="false" outlineLevel="0" collapsed="false">
      <c r="A8" s="32" t="s">
        <v>188</v>
      </c>
      <c r="B8" s="33" t="n">
        <v>1000000</v>
      </c>
      <c r="C8" s="34" t="s">
        <v>189</v>
      </c>
    </row>
    <row r="11" customFormat="false" ht="15" hidden="false" customHeight="false" outlineLevel="0" collapsed="false">
      <c r="A11" s="31" t="s">
        <v>147</v>
      </c>
    </row>
    <row r="12" customFormat="false" ht="46.25" hidden="false" customHeight="false" outlineLevel="0" collapsed="false">
      <c r="A12" s="5" t="s">
        <v>190</v>
      </c>
      <c r="B12" s="5" t="s">
        <v>191</v>
      </c>
      <c r="C12" s="5" t="s">
        <v>192</v>
      </c>
      <c r="D12" s="5" t="s">
        <v>193</v>
      </c>
      <c r="E12" s="5" t="s">
        <v>194</v>
      </c>
      <c r="F12" s="5" t="s">
        <v>195</v>
      </c>
      <c r="G12" s="5" t="s">
        <v>196</v>
      </c>
      <c r="H12" s="5" t="s">
        <v>197</v>
      </c>
    </row>
    <row r="13" customFormat="false" ht="15" hidden="false" customHeight="false" outlineLevel="0" collapsed="false">
      <c r="A13" s="32" t="s">
        <v>198</v>
      </c>
      <c r="B13" s="36" t="n">
        <v>0.001</v>
      </c>
      <c r="C13" s="37" t="n">
        <v>0.3</v>
      </c>
      <c r="D13" s="38" t="n">
        <f aca="false">$B$5*B13*C13</f>
        <v>36</v>
      </c>
      <c r="E13" s="39" t="n">
        <f aca="false">D13*$B$6/1000</f>
        <v>2.88</v>
      </c>
      <c r="F13" s="40" t="n">
        <f aca="false">D13*$B$7</f>
        <v>17.316</v>
      </c>
      <c r="G13" s="41" t="n">
        <f aca="false">IF(F13=0,"",$B$8/(F13*1000))</f>
        <v>57.7500577500578</v>
      </c>
      <c r="H13" s="42" t="n">
        <f aca="false">E13*1000000/$B$8</f>
        <v>2.88</v>
      </c>
    </row>
    <row r="14" customFormat="false" ht="15" hidden="false" customHeight="false" outlineLevel="0" collapsed="false">
      <c r="A14" s="32" t="s">
        <v>199</v>
      </c>
      <c r="B14" s="36" t="n">
        <v>0.005</v>
      </c>
      <c r="C14" s="37" t="n">
        <v>0.5</v>
      </c>
      <c r="D14" s="38" t="n">
        <f aca="false">$B$5*B14*C14</f>
        <v>300</v>
      </c>
      <c r="E14" s="39" t="n">
        <f aca="false">D14*$B$6/1000</f>
        <v>24</v>
      </c>
      <c r="F14" s="40" t="n">
        <f aca="false">D14*$B$7</f>
        <v>144.3</v>
      </c>
      <c r="G14" s="41" t="n">
        <f aca="false">IF(F14=0,"",$B$8/(F14*1000))</f>
        <v>6.93000693000693</v>
      </c>
      <c r="H14" s="42" t="n">
        <f aca="false">E14*1000000/$B$8</f>
        <v>24</v>
      </c>
    </row>
    <row r="15" customFormat="false" ht="15" hidden="false" customHeight="false" outlineLevel="0" collapsed="false">
      <c r="A15" s="32" t="s">
        <v>200</v>
      </c>
      <c r="B15" s="36" t="n">
        <v>0.02</v>
      </c>
      <c r="C15" s="37" t="n">
        <v>0.7</v>
      </c>
      <c r="D15" s="38" t="n">
        <f aca="false">$B$5*B15*C15</f>
        <v>1680</v>
      </c>
      <c r="E15" s="39" t="n">
        <f aca="false">D15*$B$6/1000</f>
        <v>134.4</v>
      </c>
      <c r="F15" s="40" t="n">
        <f aca="false">D15*$B$7</f>
        <v>808.08</v>
      </c>
      <c r="G15" s="41" t="n">
        <f aca="false">IF(F15=0,"",$B$8/(F15*1000))</f>
        <v>1.23750123750124</v>
      </c>
      <c r="H15" s="42" t="n">
        <f aca="false">E15*1000000/$B$8</f>
        <v>134.4</v>
      </c>
    </row>
    <row r="17" customFormat="false" ht="39.75" hidden="false" customHeight="true" outlineLevel="0" collapsed="false">
      <c r="A17" s="10" t="s">
        <v>201</v>
      </c>
      <c r="B17" s="10"/>
      <c r="C17" s="10"/>
      <c r="D17" s="10"/>
      <c r="E17" s="10"/>
      <c r="F17" s="10"/>
      <c r="G17" s="10"/>
      <c r="H17" s="10"/>
    </row>
    <row r="19" customFormat="false" ht="39.75" hidden="false" customHeight="true" outlineLevel="0" collapsed="false">
      <c r="A19" s="10" t="s">
        <v>202</v>
      </c>
      <c r="B19" s="10"/>
      <c r="C19" s="10"/>
      <c r="D19" s="10"/>
      <c r="E19" s="10"/>
      <c r="F19" s="10"/>
      <c r="G19" s="10"/>
      <c r="H19" s="10"/>
    </row>
  </sheetData>
  <mergeCells count="3">
    <mergeCell ref="A2:H2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2026-08-12T18:21:59Z</dcterms:created>
  <dc:creator>openpyxl</dc:creator>
  <dc:description/>
  <dc:language>en-US</dc:language>
  <cp:lastModifiedBy/>
  <dcterms:modified xsi:type="dcterms:W3CDTF">2026-08-12T20:51:34Z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